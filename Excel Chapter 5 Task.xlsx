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206" documentId="11_08847124961D288CA54A865D480A2E9D6BC6354E" xr6:coauthVersionLast="47" xr6:coauthVersionMax="47" xr10:uidLastSave="{7506BAAE-E947-4741-8E69-B60AFBC7A591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 a="1"/>
  <c r="V3" i="1" s="1"/>
  <c r="B31" i="1" a="1"/>
  <c r="B31" i="1"/>
  <c r="A42" i="1" a="1"/>
  <c r="A42" i="1"/>
  <c r="B18" i="1"/>
  <c r="E51" i="1" a="1"/>
  <c r="E51" i="1"/>
  <c r="E40" i="1" a="1"/>
  <c r="E40" i="1"/>
  <c r="B24" i="1" a="1"/>
  <c r="B24" i="1"/>
  <c r="O3" i="1" a="1"/>
  <c r="O3" i="1"/>
  <c r="H3" i="1" a="1"/>
  <c r="H3" i="1"/>
  <c r="E28" i="1" a="1"/>
  <c r="E28" i="1"/>
  <c r="E16" i="1" a="1"/>
  <c r="E16" i="1"/>
  <c r="B1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<sst xmlns="http://schemas.openxmlformats.org/spreadsheetml/2006/main" count="69" uniqueCount="56">
  <si>
    <t>Emp ID</t>
  </si>
  <si>
    <t>Employee Name</t>
  </si>
  <si>
    <t>Department</t>
  </si>
  <si>
    <t>Salary</t>
  </si>
  <si>
    <t>Location</t>
  </si>
  <si>
    <t>Joining Year</t>
  </si>
  <si>
    <t>Task 3</t>
  </si>
  <si>
    <t>1.Filter only Employees who work in the IT department.</t>
  </si>
  <si>
    <t>2.Filter Employees who earn more than 60,000</t>
  </si>
  <si>
    <t>3.Filter employees located in Delhi.</t>
  </si>
  <si>
    <t>E001</t>
  </si>
  <si>
    <t>Rahul Sharma</t>
  </si>
  <si>
    <t>Sales</t>
  </si>
  <si>
    <t>Delhi</t>
  </si>
  <si>
    <t>E002</t>
  </si>
  <si>
    <t>Anita Singh</t>
  </si>
  <si>
    <t>HR</t>
  </si>
  <si>
    <t>Mumbai</t>
  </si>
  <si>
    <t>E003</t>
  </si>
  <si>
    <t>David Mathews</t>
  </si>
  <si>
    <t>IT</t>
  </si>
  <si>
    <t>Bangalore</t>
  </si>
  <si>
    <t>E004</t>
  </si>
  <si>
    <t>Priya R</t>
  </si>
  <si>
    <t>Pune</t>
  </si>
  <si>
    <t>E005</t>
  </si>
  <si>
    <t>Sunil Kumar</t>
  </si>
  <si>
    <t>Finance</t>
  </si>
  <si>
    <t>E006</t>
  </si>
  <si>
    <t>Maria Lopez</t>
  </si>
  <si>
    <t>Marketing</t>
  </si>
  <si>
    <t>Chennai</t>
  </si>
  <si>
    <t>E007</t>
  </si>
  <si>
    <t>John Paul</t>
  </si>
  <si>
    <t>E008</t>
  </si>
  <si>
    <t>Khushi Jain</t>
  </si>
  <si>
    <t>E009</t>
  </si>
  <si>
    <t>Rohan Mehta</t>
  </si>
  <si>
    <t>Hyderabad</t>
  </si>
  <si>
    <t>E010</t>
  </si>
  <si>
    <t>Aman Verma</t>
  </si>
  <si>
    <t>Task 1</t>
  </si>
  <si>
    <t>Task 2</t>
  </si>
  <si>
    <t>EMP ID</t>
  </si>
  <si>
    <t>Dept</t>
  </si>
  <si>
    <t>1. Find the salary of the employee with Emp ID "E006"</t>
  </si>
  <si>
    <t>1. Sort the entire table by salary in descending order using SORT.</t>
  </si>
  <si>
    <t>2. Find the department of "John Paul" using MATCH + INDEX</t>
  </si>
  <si>
    <t>Task 4</t>
  </si>
  <si>
    <t>1.Return a list of Unique departments using UNIQUE.</t>
  </si>
  <si>
    <t>2. Sort Employees alphabetically by employee name.</t>
  </si>
  <si>
    <t>2.Generate a sequence of joining years from 2018 to 2023 using Sequence.</t>
  </si>
  <si>
    <t>Task 5</t>
  </si>
  <si>
    <t>1. Generate 10 random salary values between 40k and 80k  using RandArray.</t>
  </si>
  <si>
    <t>3. Sort employees by department(A-Z) and then salary (Lowest-Highest)</t>
  </si>
  <si>
    <t>4.Sort employees by joining year(Oldest to newest)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</si>
</sst>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1"/>
      <color rgb="FF000000"/>
      <name val="&quot;Aptos Narrow&quot;"/>
    </font>
    <font>
      <sz val="11"/>
      <color rgb="FF000000"/>
      <name val="&quot;Aptos Narrow&quot;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right"/>
    </xf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1" xfId="0" applyFont="1" applyBorder="1" applyAlignment="1"/>
    <xf numFmtId="0" fontId="0" fillId="2" borderId="2" xfId="0" applyFont="1" applyFill="1" applyBorder="1" applyAlignment="1"/>
    <xf numFmtId="0" fontId="0" fillId="3" borderId="0" xfId="0" applyFont="1" applyFill="1" applyBorder="1" applyAlignment="1"/>
    <xf numFmtId="0" fontId="0" fillId="3" borderId="6" xfId="0" applyFont="1" applyFill="1" applyBorder="1" applyAlignment="1"/>
    <xf numFmtId="0" fontId="0" fillId="3" borderId="5" xfId="0" applyFont="1" applyFill="1" applyBorder="1" applyAlignment="1">
      <alignment horizontal="center" vertical="center" wrapText="1"/>
    </xf>
    <xf numFmtId="0" fontId="0" fillId="0" borderId="10" xfId="0" applyFont="1" applyBorder="1" applyAlignment="1"/>
    <xf numFmtId="0" fontId="0" fillId="3" borderId="5" xfId="0" applyFont="1" applyFill="1" applyBorder="1" applyAlignment="1">
      <alignment wrapText="1"/>
    </xf>
    <xf numFmtId="0" fontId="0" fillId="0" borderId="11" xfId="0" applyFont="1" applyBorder="1" applyAlignment="1"/>
    <xf numFmtId="0" fontId="0" fillId="0" borderId="12" xfId="0" applyFont="1" applyBorder="1" applyAlignment="1"/>
    <xf numFmtId="0" fontId="0" fillId="0" borderId="10" xfId="0" applyFont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4" borderId="2" xfId="0" applyFont="1" applyFill="1" applyBorder="1" applyAlignment="1"/>
    <xf numFmtId="0" fontId="0" fillId="0" borderId="10" xfId="0" applyFont="1" applyBorder="1" applyAlignment="1">
      <alignment horizontal="center"/>
    </xf>
    <xf numFmtId="0" fontId="0" fillId="0" borderId="12" xfId="0" applyFont="1" applyBorder="1" applyAlignment="1">
      <alignment horizontal="center" vertical="center"/>
    </xf>
    <xf numFmtId="0" fontId="0" fillId="4" borderId="13" xfId="0" applyFont="1" applyFill="1" applyBorder="1" applyAlignment="1"/>
    <xf numFmtId="0" fontId="0" fillId="0" borderId="14" xfId="0" applyFont="1" applyBorder="1" applyAlignment="1"/>
    <xf numFmtId="0" fontId="0" fillId="3" borderId="14" xfId="0" applyFont="1" applyFill="1" applyBorder="1" applyAlignment="1">
      <alignment wrapText="1"/>
    </xf>
    <xf numFmtId="0" fontId="0" fillId="0" borderId="15" xfId="0" applyFont="1" applyBorder="1" applyAlignment="1"/>
    <xf numFmtId="0" fontId="0" fillId="0" borderId="16" xfId="0" applyFont="1" applyBorder="1" applyAlignment="1"/>
    <xf numFmtId="0" fontId="0" fillId="3" borderId="3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0" borderId="17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72"/>
  <sheetViews>
    <sheetView tabSelected="1" topLeftCell="Q1" workbookViewId="0">
      <selection activeCell="H1" sqref="H1:AB7"/>
    </sheetView>
  </sheetViews>
  <sheetFormatPr defaultColWidth="12.5703125" defaultRowHeight="15.75" customHeight="1"/>
  <cols>
    <col min="1" max="1" width="36.5703125" bestFit="1" customWidth="1"/>
    <col min="2" max="2" width="15" customWidth="1"/>
    <col min="4" max="4" width="36.5703125" bestFit="1" customWidth="1"/>
    <col min="5" max="5" width="34.140625" bestFit="1" customWidth="1"/>
    <col min="6" max="6" width="14.5703125" bestFit="1" customWidth="1"/>
    <col min="10" max="10" width="36.5703125" bestFit="1" customWidth="1"/>
    <col min="15" max="15" width="29.7109375" bestFit="1" customWidth="1"/>
    <col min="16" max="16" width="36.5703125" bestFit="1" customWidth="1"/>
    <col min="23" max="23" width="29.7109375" bestFit="1" customWidth="1"/>
  </cols>
  <sheetData>
    <row r="1" spans="1:28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5" t="s">
        <v>6</v>
      </c>
      <c r="I1" s="6"/>
      <c r="J1" s="33" t="s">
        <v>7</v>
      </c>
      <c r="K1" s="6"/>
      <c r="L1" s="6"/>
      <c r="M1" s="6"/>
      <c r="N1" s="6"/>
      <c r="O1" s="6"/>
      <c r="P1" s="33" t="s">
        <v>8</v>
      </c>
      <c r="Q1" s="6"/>
      <c r="R1" s="6"/>
      <c r="S1" s="6"/>
      <c r="T1" s="6"/>
      <c r="U1" s="6"/>
      <c r="V1" s="6"/>
      <c r="W1" s="34" t="s">
        <v>9</v>
      </c>
      <c r="X1" s="6"/>
      <c r="Y1" s="6"/>
      <c r="Z1" s="6"/>
      <c r="AA1" s="6"/>
      <c r="AB1" s="7"/>
    </row>
    <row r="2" spans="1:28" ht="14.25">
      <c r="A2" s="2" t="s">
        <v>10</v>
      </c>
      <c r="B2" s="2" t="s">
        <v>11</v>
      </c>
      <c r="C2" s="2" t="s">
        <v>12</v>
      </c>
      <c r="D2" s="3">
        <v>55000</v>
      </c>
      <c r="E2" s="2" t="s">
        <v>13</v>
      </c>
      <c r="F2" s="3">
        <v>2021</v>
      </c>
      <c r="H2" s="8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9"/>
    </row>
    <row r="3" spans="1:28" ht="14.25">
      <c r="A3" s="2" t="s">
        <v>14</v>
      </c>
      <c r="B3" s="2" t="s">
        <v>15</v>
      </c>
      <c r="C3" s="2" t="s">
        <v>16</v>
      </c>
      <c r="D3" s="3">
        <v>48000</v>
      </c>
      <c r="E3" s="2" t="s">
        <v>17</v>
      </c>
      <c r="F3" s="3">
        <v>2019</v>
      </c>
      <c r="H3" s="35" t="str" cm="1">
        <f t="array" ref="H3:M5">_xlfn._xlws.FILTER(A2:F11,C2:C11="IT")</f>
        <v>E003</v>
      </c>
      <c r="I3" s="13" t="str">
        <v>David Mathews</v>
      </c>
      <c r="J3" s="13" t="str">
        <v>IT</v>
      </c>
      <c r="K3" s="13">
        <v>72000</v>
      </c>
      <c r="L3" s="13" t="str">
        <v>Bangalore</v>
      </c>
      <c r="M3" s="13">
        <v>2020</v>
      </c>
      <c r="N3" s="5"/>
      <c r="O3" s="13" t="str" cm="1">
        <f t="array" ref="O3:T5">_xlfn._xlws.FILTER(A2:F11,D2:D11&gt;60000)</f>
        <v>E003</v>
      </c>
      <c r="P3" s="13" t="str">
        <v>David Mathews</v>
      </c>
      <c r="Q3" s="13" t="str">
        <v>IT</v>
      </c>
      <c r="R3" s="13">
        <v>72000</v>
      </c>
      <c r="S3" s="13" t="str">
        <v>Bangalore</v>
      </c>
      <c r="T3" s="13">
        <v>2020</v>
      </c>
      <c r="U3" s="5"/>
      <c r="V3" s="13" t="str" cm="1">
        <f t="array" ref="V3:AA5">_xlfn._xlws.FILTER(A2:F11,E2:E11="Delhi")</f>
        <v>E001</v>
      </c>
      <c r="W3" s="13" t="str">
        <v>Rahul Sharma</v>
      </c>
      <c r="X3" s="13" t="str">
        <v>Sales</v>
      </c>
      <c r="Y3" s="13">
        <v>55000</v>
      </c>
      <c r="Z3" s="13" t="str">
        <v>Delhi</v>
      </c>
      <c r="AA3" s="13">
        <v>2021</v>
      </c>
      <c r="AB3" s="9"/>
    </row>
    <row r="4" spans="1:28" ht="14.25">
      <c r="A4" s="2" t="s">
        <v>18</v>
      </c>
      <c r="B4" s="2" t="s">
        <v>19</v>
      </c>
      <c r="C4" s="2" t="s">
        <v>20</v>
      </c>
      <c r="D4" s="3">
        <v>72000</v>
      </c>
      <c r="E4" s="2" t="s">
        <v>21</v>
      </c>
      <c r="F4" s="3">
        <v>2020</v>
      </c>
      <c r="H4" s="35" t="str">
        <v>E004</v>
      </c>
      <c r="I4" s="13" t="str">
        <v>Priya R</v>
      </c>
      <c r="J4" s="13" t="str">
        <v>IT</v>
      </c>
      <c r="K4" s="13">
        <v>69000</v>
      </c>
      <c r="L4" s="13" t="str">
        <v>Pune</v>
      </c>
      <c r="M4" s="13">
        <v>2022</v>
      </c>
      <c r="N4" s="5"/>
      <c r="O4" s="13" t="str">
        <v>E004</v>
      </c>
      <c r="P4" s="13" t="str">
        <v>Priya R</v>
      </c>
      <c r="Q4" s="13" t="str">
        <v>IT</v>
      </c>
      <c r="R4" s="13">
        <v>69000</v>
      </c>
      <c r="S4" s="13" t="str">
        <v>Pune</v>
      </c>
      <c r="T4" s="13">
        <v>2022</v>
      </c>
      <c r="U4" s="5"/>
      <c r="V4" s="13" t="str">
        <v>E005</v>
      </c>
      <c r="W4" s="13" t="str">
        <v>Sunil Kumar</v>
      </c>
      <c r="X4" s="13" t="str">
        <v>Finance</v>
      </c>
      <c r="Y4" s="13">
        <v>58000</v>
      </c>
      <c r="Z4" s="13" t="str">
        <v>Delhi</v>
      </c>
      <c r="AA4" s="13">
        <v>2021</v>
      </c>
      <c r="AB4" s="9"/>
    </row>
    <row r="5" spans="1:28" ht="14.25">
      <c r="A5" s="2" t="s">
        <v>22</v>
      </c>
      <c r="B5" s="2" t="s">
        <v>23</v>
      </c>
      <c r="C5" s="2" t="s">
        <v>20</v>
      </c>
      <c r="D5" s="3">
        <v>69000</v>
      </c>
      <c r="E5" s="2" t="s">
        <v>24</v>
      </c>
      <c r="F5" s="3">
        <v>2022</v>
      </c>
      <c r="H5" s="35" t="str">
        <v>E009</v>
      </c>
      <c r="I5" s="13" t="str">
        <v>Rohan Mehta</v>
      </c>
      <c r="J5" s="13" t="str">
        <v>IT</v>
      </c>
      <c r="K5" s="13">
        <v>73000</v>
      </c>
      <c r="L5" s="13" t="str">
        <v>Hyderabad</v>
      </c>
      <c r="M5" s="13">
        <v>2019</v>
      </c>
      <c r="N5" s="5"/>
      <c r="O5" s="13" t="str">
        <v>E009</v>
      </c>
      <c r="P5" s="13" t="str">
        <v>Rohan Mehta</v>
      </c>
      <c r="Q5" s="13" t="str">
        <v>IT</v>
      </c>
      <c r="R5" s="13">
        <v>73000</v>
      </c>
      <c r="S5" s="13" t="str">
        <v>Hyderabad</v>
      </c>
      <c r="T5" s="13">
        <v>2019</v>
      </c>
      <c r="U5" s="5"/>
      <c r="V5" s="13" t="str">
        <v>E010</v>
      </c>
      <c r="W5" s="13" t="str">
        <v>Aman Verma</v>
      </c>
      <c r="X5" s="13" t="str">
        <v>Finance</v>
      </c>
      <c r="Y5" s="13">
        <v>54000</v>
      </c>
      <c r="Z5" s="13" t="str">
        <v>Delhi</v>
      </c>
      <c r="AA5" s="13">
        <v>2020</v>
      </c>
      <c r="AB5" s="9"/>
    </row>
    <row r="6" spans="1:28" ht="14.25">
      <c r="A6" s="2" t="s">
        <v>25</v>
      </c>
      <c r="B6" s="2" t="s">
        <v>26</v>
      </c>
      <c r="C6" s="2" t="s">
        <v>27</v>
      </c>
      <c r="D6" s="3">
        <v>58000</v>
      </c>
      <c r="E6" s="2" t="s">
        <v>13</v>
      </c>
      <c r="F6" s="3">
        <v>2021</v>
      </c>
      <c r="H6" s="8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9"/>
    </row>
    <row r="7" spans="1:28" ht="14.25">
      <c r="A7" s="2" t="s">
        <v>28</v>
      </c>
      <c r="B7" s="2" t="s">
        <v>29</v>
      </c>
      <c r="C7" s="2" t="s">
        <v>30</v>
      </c>
      <c r="D7" s="3">
        <v>51000</v>
      </c>
      <c r="E7" s="2" t="s">
        <v>31</v>
      </c>
      <c r="F7" s="3">
        <v>2018</v>
      </c>
      <c r="H7" s="10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</row>
    <row r="8" spans="1:28" ht="14.25">
      <c r="A8" s="2" t="s">
        <v>32</v>
      </c>
      <c r="B8" s="2" t="s">
        <v>33</v>
      </c>
      <c r="C8" s="2" t="s">
        <v>12</v>
      </c>
      <c r="D8" s="3">
        <v>60000</v>
      </c>
      <c r="E8" s="2" t="s">
        <v>17</v>
      </c>
      <c r="F8" s="3">
        <v>2023</v>
      </c>
    </row>
    <row r="9" spans="1:28">
      <c r="A9" s="2" t="s">
        <v>34</v>
      </c>
      <c r="B9" s="2" t="s">
        <v>35</v>
      </c>
      <c r="C9" s="2" t="s">
        <v>16</v>
      </c>
      <c r="D9" s="3">
        <v>47000</v>
      </c>
      <c r="E9" s="2" t="s">
        <v>21</v>
      </c>
      <c r="F9" s="3">
        <v>2022</v>
      </c>
    </row>
    <row r="10" spans="1:28">
      <c r="A10" s="2" t="s">
        <v>36</v>
      </c>
      <c r="B10" s="2" t="s">
        <v>37</v>
      </c>
      <c r="C10" s="2" t="s">
        <v>20</v>
      </c>
      <c r="D10" s="3">
        <v>73000</v>
      </c>
      <c r="E10" s="2" t="s">
        <v>38</v>
      </c>
      <c r="F10" s="3">
        <v>2019</v>
      </c>
    </row>
    <row r="11" spans="1:28">
      <c r="A11" s="2" t="s">
        <v>39</v>
      </c>
      <c r="B11" s="2" t="s">
        <v>40</v>
      </c>
      <c r="C11" s="2" t="s">
        <v>27</v>
      </c>
      <c r="D11" s="3">
        <v>54000</v>
      </c>
      <c r="E11" s="2" t="s">
        <v>13</v>
      </c>
      <c r="F11" s="3">
        <v>2020</v>
      </c>
    </row>
    <row r="14" spans="1:28" ht="15.75" customHeight="1">
      <c r="A14" s="14" t="s">
        <v>41</v>
      </c>
      <c r="B14" s="7"/>
      <c r="D14" s="14" t="s">
        <v>42</v>
      </c>
      <c r="E14" s="6"/>
      <c r="F14" s="6"/>
      <c r="G14" s="6"/>
      <c r="H14" s="6"/>
      <c r="I14" s="6"/>
      <c r="J14" s="7"/>
    </row>
    <row r="15" spans="1:28" ht="15.75" customHeight="1">
      <c r="A15" s="8"/>
      <c r="B15" s="9"/>
      <c r="D15" s="8"/>
      <c r="E15" s="15" t="s">
        <v>43</v>
      </c>
      <c r="F15" s="15" t="s">
        <v>1</v>
      </c>
      <c r="G15" s="15" t="s">
        <v>44</v>
      </c>
      <c r="H15" s="15" t="s">
        <v>3</v>
      </c>
      <c r="I15" s="15" t="s">
        <v>4</v>
      </c>
      <c r="J15" s="16" t="s">
        <v>5</v>
      </c>
    </row>
    <row r="16" spans="1:28" ht="36.75" customHeight="1">
      <c r="A16" s="17" t="s">
        <v>45</v>
      </c>
      <c r="B16" s="22">
        <f>INDEX(A2:F11,6,4)</f>
        <v>51000</v>
      </c>
      <c r="D16" s="17" t="s">
        <v>46</v>
      </c>
      <c r="E16" s="13" t="str" cm="1">
        <f t="array" ref="E16:J25">_xlfn._xlws.SORT(A2:F11,4,-1,FALSE)</f>
        <v>E009</v>
      </c>
      <c r="F16" s="13" t="str">
        <v>Rohan Mehta</v>
      </c>
      <c r="G16" s="13" t="str">
        <v>IT</v>
      </c>
      <c r="H16" s="13">
        <v>73000</v>
      </c>
      <c r="I16" s="13" t="str">
        <v>Hyderabad</v>
      </c>
      <c r="J16" s="18">
        <v>2019</v>
      </c>
    </row>
    <row r="17" spans="1:10" ht="15.75" customHeight="1">
      <c r="A17" s="8"/>
      <c r="B17" s="9"/>
      <c r="D17" s="8"/>
      <c r="E17" s="13" t="str">
        <v>E003</v>
      </c>
      <c r="F17" s="13" t="str">
        <v>David Mathews</v>
      </c>
      <c r="G17" s="13" t="str">
        <v>IT</v>
      </c>
      <c r="H17" s="13">
        <v>72000</v>
      </c>
      <c r="I17" s="13" t="str">
        <v>Bangalore</v>
      </c>
      <c r="J17" s="18">
        <v>2020</v>
      </c>
    </row>
    <row r="18" spans="1:10" ht="34.5" customHeight="1">
      <c r="A18" s="23" t="s">
        <v>47</v>
      </c>
      <c r="B18" s="24" t="str">
        <f>INDEX(C2:C11, MATCH(B8, B2:B11, 0))</f>
        <v>Sales</v>
      </c>
      <c r="D18" s="8"/>
      <c r="E18" s="13" t="str">
        <v>E004</v>
      </c>
      <c r="F18" s="13" t="str">
        <v>Priya R</v>
      </c>
      <c r="G18" s="13" t="str">
        <v>IT</v>
      </c>
      <c r="H18" s="13">
        <v>69000</v>
      </c>
      <c r="I18" s="13" t="str">
        <v>Pune</v>
      </c>
      <c r="J18" s="18">
        <v>2022</v>
      </c>
    </row>
    <row r="19" spans="1:10" ht="15.75" customHeight="1">
      <c r="D19" s="8"/>
      <c r="E19" s="13" t="str">
        <v>E007</v>
      </c>
      <c r="F19" s="13" t="str">
        <v>John Paul</v>
      </c>
      <c r="G19" s="13" t="str">
        <v>Sales</v>
      </c>
      <c r="H19" s="13">
        <v>60000</v>
      </c>
      <c r="I19" s="13" t="str">
        <v>Mumbai</v>
      </c>
      <c r="J19" s="18">
        <v>2023</v>
      </c>
    </row>
    <row r="20" spans="1:10" ht="15.75" customHeight="1">
      <c r="D20" s="8"/>
      <c r="E20" s="13" t="str">
        <v>E005</v>
      </c>
      <c r="F20" s="13" t="str">
        <v>Sunil Kumar</v>
      </c>
      <c r="G20" s="13" t="str">
        <v>Finance</v>
      </c>
      <c r="H20" s="13">
        <v>58000</v>
      </c>
      <c r="I20" s="13" t="str">
        <v>Delhi</v>
      </c>
      <c r="J20" s="18">
        <v>2021</v>
      </c>
    </row>
    <row r="21" spans="1:10" ht="15.75" customHeight="1">
      <c r="D21" s="8"/>
      <c r="E21" s="13" t="str">
        <v>E001</v>
      </c>
      <c r="F21" s="13" t="str">
        <v>Rahul Sharma</v>
      </c>
      <c r="G21" s="13" t="str">
        <v>Sales</v>
      </c>
      <c r="H21" s="13">
        <v>55000</v>
      </c>
      <c r="I21" s="13" t="str">
        <v>Delhi</v>
      </c>
      <c r="J21" s="18">
        <v>2021</v>
      </c>
    </row>
    <row r="22" spans="1:10" ht="15.75" customHeight="1">
      <c r="A22" s="25" t="s">
        <v>48</v>
      </c>
      <c r="B22" s="7"/>
      <c r="D22" s="8"/>
      <c r="E22" s="13" t="str">
        <v>E010</v>
      </c>
      <c r="F22" s="13" t="str">
        <v>Aman Verma</v>
      </c>
      <c r="G22" s="13" t="str">
        <v>Finance</v>
      </c>
      <c r="H22" s="13">
        <v>54000</v>
      </c>
      <c r="I22" s="13" t="str">
        <v>Delhi</v>
      </c>
      <c r="J22" s="18">
        <v>2020</v>
      </c>
    </row>
    <row r="23" spans="1:10" ht="15.75" customHeight="1">
      <c r="A23" s="8"/>
      <c r="B23" s="9"/>
      <c r="D23" s="8"/>
      <c r="E23" s="13" t="str">
        <v>E006</v>
      </c>
      <c r="F23" s="13" t="str">
        <v>Maria Lopez</v>
      </c>
      <c r="G23" s="13" t="str">
        <v>Marketing</v>
      </c>
      <c r="H23" s="13">
        <v>51000</v>
      </c>
      <c r="I23" s="13" t="str">
        <v>Chennai</v>
      </c>
      <c r="J23" s="18">
        <v>2018</v>
      </c>
    </row>
    <row r="24" spans="1:10" ht="28.5" customHeight="1">
      <c r="A24" s="19" t="s">
        <v>49</v>
      </c>
      <c r="B24" s="26" t="str" cm="1">
        <f t="array" ref="B24:B28">_xlfn.UNIQUE(C2:C11,FALSE,FALSE)</f>
        <v>Sales</v>
      </c>
      <c r="D24" s="8"/>
      <c r="E24" s="13" t="str">
        <v>E002</v>
      </c>
      <c r="F24" s="13" t="str">
        <v>Anita Singh</v>
      </c>
      <c r="G24" s="13" t="str">
        <v>HR</v>
      </c>
      <c r="H24" s="13">
        <v>48000</v>
      </c>
      <c r="I24" s="13" t="str">
        <v>Mumbai</v>
      </c>
      <c r="J24" s="18">
        <v>2019</v>
      </c>
    </row>
    <row r="25" spans="1:10" ht="15.75" customHeight="1">
      <c r="A25" s="8"/>
      <c r="B25" s="26" t="str">
        <v>HR</v>
      </c>
      <c r="D25" s="8"/>
      <c r="E25" s="13" t="str">
        <v>E008</v>
      </c>
      <c r="F25" s="13" t="str">
        <v>Khushi Jain</v>
      </c>
      <c r="G25" s="13" t="str">
        <v>HR</v>
      </c>
      <c r="H25" s="13">
        <v>47000</v>
      </c>
      <c r="I25" s="13" t="str">
        <v>Bangalore</v>
      </c>
      <c r="J25" s="18">
        <v>2022</v>
      </c>
    </row>
    <row r="26" spans="1:10" ht="15.75" customHeight="1">
      <c r="A26" s="8"/>
      <c r="B26" s="26" t="str">
        <v>IT</v>
      </c>
      <c r="D26" s="8"/>
      <c r="E26" s="5"/>
      <c r="F26" s="5"/>
      <c r="G26" s="5"/>
      <c r="H26" s="5"/>
      <c r="I26" s="5"/>
      <c r="J26" s="9"/>
    </row>
    <row r="27" spans="1:10" ht="15.75" customHeight="1">
      <c r="A27" s="8"/>
      <c r="B27" s="26" t="str">
        <v>Finance</v>
      </c>
      <c r="D27" s="8"/>
      <c r="E27" s="5"/>
      <c r="F27" s="5"/>
      <c r="G27" s="5"/>
      <c r="H27" s="5"/>
      <c r="I27" s="5"/>
      <c r="J27" s="9"/>
    </row>
    <row r="28" spans="1:10" ht="36.75" customHeight="1">
      <c r="A28" s="8"/>
      <c r="B28" s="26" t="str">
        <v>Marketing</v>
      </c>
      <c r="D28" s="17" t="s">
        <v>50</v>
      </c>
      <c r="E28" s="13" t="str" cm="1">
        <f t="array" ref="E28:J37">_xlfn._xlws.SORT(A2:F11,2,1,FALSE)</f>
        <v>E010</v>
      </c>
      <c r="F28" s="13" t="str">
        <v>Aman Verma</v>
      </c>
      <c r="G28" s="13" t="str">
        <v>Finance</v>
      </c>
      <c r="H28" s="13">
        <v>54000</v>
      </c>
      <c r="I28" s="13" t="str">
        <v>Delhi</v>
      </c>
      <c r="J28" s="18">
        <v>2020</v>
      </c>
    </row>
    <row r="29" spans="1:10" ht="15.75" customHeight="1">
      <c r="A29" s="8"/>
      <c r="B29" s="9"/>
      <c r="D29" s="8"/>
      <c r="E29" s="13" t="str">
        <v>E002</v>
      </c>
      <c r="F29" s="13" t="str">
        <v>Anita Singh</v>
      </c>
      <c r="G29" s="13" t="str">
        <v>HR</v>
      </c>
      <c r="H29" s="13">
        <v>48000</v>
      </c>
      <c r="I29" s="13" t="str">
        <v>Mumbai</v>
      </c>
      <c r="J29" s="18">
        <v>2019</v>
      </c>
    </row>
    <row r="30" spans="1:10" ht="15.75" customHeight="1">
      <c r="A30" s="8"/>
      <c r="B30" s="9"/>
      <c r="D30" s="8"/>
      <c r="E30" s="13" t="str">
        <v>E003</v>
      </c>
      <c r="F30" s="13" t="str">
        <v>David Mathews</v>
      </c>
      <c r="G30" s="13" t="str">
        <v>IT</v>
      </c>
      <c r="H30" s="13">
        <v>72000</v>
      </c>
      <c r="I30" s="13" t="str">
        <v>Bangalore</v>
      </c>
      <c r="J30" s="18">
        <v>2020</v>
      </c>
    </row>
    <row r="31" spans="1:10" ht="24.75" customHeight="1">
      <c r="A31" s="19" t="s">
        <v>51</v>
      </c>
      <c r="B31" s="22" cm="1">
        <f t="array" ref="B31:B36">_xlfn.SEQUENCE(6,1,2018,1)</f>
        <v>2018</v>
      </c>
      <c r="D31" s="8"/>
      <c r="E31" s="13" t="str">
        <v>E007</v>
      </c>
      <c r="F31" s="13" t="str">
        <v>John Paul</v>
      </c>
      <c r="G31" s="13" t="str">
        <v>Sales</v>
      </c>
      <c r="H31" s="13">
        <v>60000</v>
      </c>
      <c r="I31" s="13" t="str">
        <v>Mumbai</v>
      </c>
      <c r="J31" s="18">
        <v>2023</v>
      </c>
    </row>
    <row r="32" spans="1:10" ht="15.75" customHeight="1">
      <c r="A32" s="8"/>
      <c r="B32" s="22">
        <v>2019</v>
      </c>
      <c r="D32" s="8"/>
      <c r="E32" s="13" t="str">
        <v>E008</v>
      </c>
      <c r="F32" s="13" t="str">
        <v>Khushi Jain</v>
      </c>
      <c r="G32" s="13" t="str">
        <v>HR</v>
      </c>
      <c r="H32" s="13">
        <v>47000</v>
      </c>
      <c r="I32" s="13" t="str">
        <v>Bangalore</v>
      </c>
      <c r="J32" s="18">
        <v>2022</v>
      </c>
    </row>
    <row r="33" spans="1:10" ht="15.75" customHeight="1">
      <c r="A33" s="8"/>
      <c r="B33" s="22">
        <v>2020</v>
      </c>
      <c r="D33" s="8"/>
      <c r="E33" s="13" t="str">
        <v>E006</v>
      </c>
      <c r="F33" s="13" t="str">
        <v>Maria Lopez</v>
      </c>
      <c r="G33" s="13" t="str">
        <v>Marketing</v>
      </c>
      <c r="H33" s="13">
        <v>51000</v>
      </c>
      <c r="I33" s="13" t="str">
        <v>Chennai</v>
      </c>
      <c r="J33" s="18">
        <v>2018</v>
      </c>
    </row>
    <row r="34" spans="1:10" ht="15.75" customHeight="1">
      <c r="A34" s="8"/>
      <c r="B34" s="22">
        <v>2021</v>
      </c>
      <c r="D34" s="8"/>
      <c r="E34" s="13" t="str">
        <v>E004</v>
      </c>
      <c r="F34" s="13" t="str">
        <v>Priya R</v>
      </c>
      <c r="G34" s="13" t="str">
        <v>IT</v>
      </c>
      <c r="H34" s="13">
        <v>69000</v>
      </c>
      <c r="I34" s="13" t="str">
        <v>Pune</v>
      </c>
      <c r="J34" s="18">
        <v>2022</v>
      </c>
    </row>
    <row r="35" spans="1:10" ht="15.75" customHeight="1">
      <c r="A35" s="8"/>
      <c r="B35" s="22">
        <v>2022</v>
      </c>
      <c r="D35" s="8"/>
      <c r="E35" s="13" t="str">
        <v>E001</v>
      </c>
      <c r="F35" s="13" t="str">
        <v>Rahul Sharma</v>
      </c>
      <c r="G35" s="13" t="str">
        <v>Sales</v>
      </c>
      <c r="H35" s="13">
        <v>55000</v>
      </c>
      <c r="I35" s="13" t="str">
        <v>Delhi</v>
      </c>
      <c r="J35" s="18">
        <v>2021</v>
      </c>
    </row>
    <row r="36" spans="1:10" ht="15.75" customHeight="1">
      <c r="A36" s="10"/>
      <c r="B36" s="27">
        <v>2023</v>
      </c>
      <c r="D36" s="8"/>
      <c r="E36" s="13" t="str">
        <v>E009</v>
      </c>
      <c r="F36" s="13" t="str">
        <v>Rohan Mehta</v>
      </c>
      <c r="G36" s="13" t="str">
        <v>IT</v>
      </c>
      <c r="H36" s="13">
        <v>73000</v>
      </c>
      <c r="I36" s="13" t="str">
        <v>Hyderabad</v>
      </c>
      <c r="J36" s="18">
        <v>2019</v>
      </c>
    </row>
    <row r="37" spans="1:10" ht="15.75" customHeight="1">
      <c r="D37" s="8"/>
      <c r="E37" s="13" t="str">
        <v>E005</v>
      </c>
      <c r="F37" s="13" t="str">
        <v>Sunil Kumar</v>
      </c>
      <c r="G37" s="13" t="str">
        <v>Finance</v>
      </c>
      <c r="H37" s="13">
        <v>58000</v>
      </c>
      <c r="I37" s="13" t="str">
        <v>Delhi</v>
      </c>
      <c r="J37" s="18">
        <v>2021</v>
      </c>
    </row>
    <row r="38" spans="1:10" ht="15.75" customHeight="1">
      <c r="A38" s="28" t="s">
        <v>52</v>
      </c>
      <c r="D38" s="8"/>
      <c r="E38" s="5"/>
      <c r="F38" s="5"/>
      <c r="G38" s="5"/>
      <c r="H38" s="5"/>
      <c r="I38" s="5"/>
      <c r="J38" s="9"/>
    </row>
    <row r="39" spans="1:10" ht="15.75" customHeight="1">
      <c r="A39" s="29"/>
      <c r="D39" s="8"/>
      <c r="E39" s="5"/>
      <c r="F39" s="5"/>
      <c r="G39" s="5"/>
      <c r="H39" s="5"/>
      <c r="I39" s="5"/>
      <c r="J39" s="9"/>
    </row>
    <row r="40" spans="1:10" ht="33.75" customHeight="1">
      <c r="A40" s="30" t="s">
        <v>53</v>
      </c>
      <c r="D40" s="17" t="s">
        <v>54</v>
      </c>
      <c r="E40" s="13" t="str" cm="1">
        <f t="array" ref="E40:J49">_xlfn.SORTBY(A2:F11,C2:C11,1,D2:D11,1)</f>
        <v>E010</v>
      </c>
      <c r="F40" s="13" t="str">
        <v>Aman Verma</v>
      </c>
      <c r="G40" s="13" t="str">
        <v>Finance</v>
      </c>
      <c r="H40" s="13">
        <v>54000</v>
      </c>
      <c r="I40" s="13" t="str">
        <v>Delhi</v>
      </c>
      <c r="J40" s="18">
        <v>2020</v>
      </c>
    </row>
    <row r="41" spans="1:10" ht="15.75" customHeight="1">
      <c r="A41" s="29"/>
      <c r="D41" s="8"/>
      <c r="E41" s="13" t="str">
        <v>E005</v>
      </c>
      <c r="F41" s="13" t="str">
        <v>Sunil Kumar</v>
      </c>
      <c r="G41" s="13" t="str">
        <v>Finance</v>
      </c>
      <c r="H41" s="13">
        <v>58000</v>
      </c>
      <c r="I41" s="13" t="str">
        <v>Delhi</v>
      </c>
      <c r="J41" s="18">
        <v>2021</v>
      </c>
    </row>
    <row r="42" spans="1:10" ht="15.75" customHeight="1">
      <c r="A42" s="31" cm="1">
        <f t="array" aca="1" ref="A42:A51" ca="1">_xlfn.RANDARRAY(10,1,40000,80000,TRUE)</f>
        <v>61138</v>
      </c>
      <c r="B42" s="5"/>
      <c r="C42" s="5"/>
      <c r="D42" s="8"/>
      <c r="E42" s="13" t="str">
        <v>E008</v>
      </c>
      <c r="F42" s="13" t="str">
        <v>Khushi Jain</v>
      </c>
      <c r="G42" s="13" t="str">
        <v>HR</v>
      </c>
      <c r="H42" s="13">
        <v>47000</v>
      </c>
      <c r="I42" s="13" t="str">
        <v>Bangalore</v>
      </c>
      <c r="J42" s="18">
        <v>2022</v>
      </c>
    </row>
    <row r="43" spans="1:10" ht="15.75" customHeight="1">
      <c r="A43" s="31">
        <f ca="1"/>
        <v>73454</v>
      </c>
      <c r="B43" s="5"/>
      <c r="C43" s="5"/>
      <c r="D43" s="8"/>
      <c r="E43" s="13" t="str">
        <v>E002</v>
      </c>
      <c r="F43" s="13" t="str">
        <v>Anita Singh</v>
      </c>
      <c r="G43" s="13" t="str">
        <v>HR</v>
      </c>
      <c r="H43" s="13">
        <v>48000</v>
      </c>
      <c r="I43" s="13" t="str">
        <v>Mumbai</v>
      </c>
      <c r="J43" s="18">
        <v>2019</v>
      </c>
    </row>
    <row r="44" spans="1:10" ht="15.75" customHeight="1">
      <c r="A44" s="31">
        <f ca="1"/>
        <v>62411</v>
      </c>
      <c r="B44" s="5"/>
      <c r="C44" s="5"/>
      <c r="D44" s="8"/>
      <c r="E44" s="13" t="str">
        <v>E004</v>
      </c>
      <c r="F44" s="13" t="str">
        <v>Priya R</v>
      </c>
      <c r="G44" s="13" t="str">
        <v>IT</v>
      </c>
      <c r="H44" s="13">
        <v>69000</v>
      </c>
      <c r="I44" s="13" t="str">
        <v>Pune</v>
      </c>
      <c r="J44" s="18">
        <v>2022</v>
      </c>
    </row>
    <row r="45" spans="1:10" ht="15.75" customHeight="1">
      <c r="A45" s="31">
        <f ca="1"/>
        <v>48667</v>
      </c>
      <c r="B45" s="5"/>
      <c r="C45" s="5"/>
      <c r="D45" s="8"/>
      <c r="E45" s="13" t="str">
        <v>E003</v>
      </c>
      <c r="F45" s="13" t="str">
        <v>David Mathews</v>
      </c>
      <c r="G45" s="13" t="str">
        <v>IT</v>
      </c>
      <c r="H45" s="13">
        <v>72000</v>
      </c>
      <c r="I45" s="13" t="str">
        <v>Bangalore</v>
      </c>
      <c r="J45" s="18">
        <v>2020</v>
      </c>
    </row>
    <row r="46" spans="1:10" ht="15.75" customHeight="1">
      <c r="A46" s="31">
        <f ca="1"/>
        <v>48720</v>
      </c>
      <c r="B46" s="5"/>
      <c r="C46" s="5"/>
      <c r="D46" s="8"/>
      <c r="E46" s="13" t="str">
        <v>E009</v>
      </c>
      <c r="F46" s="13" t="str">
        <v>Rohan Mehta</v>
      </c>
      <c r="G46" s="13" t="str">
        <v>IT</v>
      </c>
      <c r="H46" s="13">
        <v>73000</v>
      </c>
      <c r="I46" s="13" t="str">
        <v>Hyderabad</v>
      </c>
      <c r="J46" s="18">
        <v>2019</v>
      </c>
    </row>
    <row r="47" spans="1:10" ht="15.75" customHeight="1">
      <c r="A47" s="31">
        <f ca="1"/>
        <v>77144</v>
      </c>
      <c r="D47" s="8"/>
      <c r="E47" s="13" t="str">
        <v>E006</v>
      </c>
      <c r="F47" s="13" t="str">
        <v>Maria Lopez</v>
      </c>
      <c r="G47" s="13" t="str">
        <v>Marketing</v>
      </c>
      <c r="H47" s="13">
        <v>51000</v>
      </c>
      <c r="I47" s="13" t="str">
        <v>Chennai</v>
      </c>
      <c r="J47" s="18">
        <v>2018</v>
      </c>
    </row>
    <row r="48" spans="1:10" ht="15.75" customHeight="1">
      <c r="A48" s="31">
        <f ca="1"/>
        <v>40005</v>
      </c>
      <c r="D48" s="8"/>
      <c r="E48" s="13" t="str">
        <v>E001</v>
      </c>
      <c r="F48" s="13" t="str">
        <v>Rahul Sharma</v>
      </c>
      <c r="G48" s="13" t="str">
        <v>Sales</v>
      </c>
      <c r="H48" s="13">
        <v>55000</v>
      </c>
      <c r="I48" s="13" t="str">
        <v>Delhi</v>
      </c>
      <c r="J48" s="18">
        <v>2021</v>
      </c>
    </row>
    <row r="49" spans="1:10" ht="15.75" customHeight="1">
      <c r="A49" s="31">
        <f ca="1"/>
        <v>70599</v>
      </c>
      <c r="D49" s="8"/>
      <c r="E49" s="13" t="str">
        <v>E007</v>
      </c>
      <c r="F49" s="13" t="str">
        <v>John Paul</v>
      </c>
      <c r="G49" s="13" t="str">
        <v>Sales</v>
      </c>
      <c r="H49" s="13">
        <v>60000</v>
      </c>
      <c r="I49" s="13" t="str">
        <v>Mumbai</v>
      </c>
      <c r="J49" s="18">
        <v>2023</v>
      </c>
    </row>
    <row r="50" spans="1:10" ht="15.75" customHeight="1">
      <c r="A50" s="31">
        <f ca="1"/>
        <v>61835</v>
      </c>
      <c r="D50" s="8"/>
      <c r="E50" s="5"/>
      <c r="F50" s="5"/>
      <c r="G50" s="5"/>
      <c r="H50" s="5"/>
      <c r="I50" s="5"/>
      <c r="J50" s="9"/>
    </row>
    <row r="51" spans="1:10" ht="15.75" customHeight="1">
      <c r="A51" s="32">
        <f ca="1"/>
        <v>45096</v>
      </c>
      <c r="D51" s="8"/>
      <c r="E51" s="13" t="str" cm="1">
        <f t="array" ref="E51:J60">_xlfn._xlws.SORT(A2:F11,6,1,FALSE)</f>
        <v>E006</v>
      </c>
      <c r="F51" s="13" t="str">
        <v>Maria Lopez</v>
      </c>
      <c r="G51" s="13" t="str">
        <v>Marketing</v>
      </c>
      <c r="H51" s="13">
        <v>51000</v>
      </c>
      <c r="I51" s="13" t="str">
        <v>Chennai</v>
      </c>
      <c r="J51" s="18">
        <v>2018</v>
      </c>
    </row>
    <row r="52" spans="1:10" ht="23.25" customHeight="1">
      <c r="D52" s="19" t="s">
        <v>55</v>
      </c>
      <c r="E52" s="13" t="str">
        <v>E002</v>
      </c>
      <c r="F52" s="13" t="str">
        <v>Anita Singh</v>
      </c>
      <c r="G52" s="13" t="str">
        <v>HR</v>
      </c>
      <c r="H52" s="13">
        <v>48000</v>
      </c>
      <c r="I52" s="13" t="str">
        <v>Mumbai</v>
      </c>
      <c r="J52" s="18">
        <v>2019</v>
      </c>
    </row>
    <row r="53" spans="1:10" ht="15.75" customHeight="1">
      <c r="D53" s="8"/>
      <c r="E53" s="13" t="str">
        <v>E009</v>
      </c>
      <c r="F53" s="13" t="str">
        <v>Rohan Mehta</v>
      </c>
      <c r="G53" s="13" t="str">
        <v>IT</v>
      </c>
      <c r="H53" s="13">
        <v>73000</v>
      </c>
      <c r="I53" s="13" t="str">
        <v>Hyderabad</v>
      </c>
      <c r="J53" s="18">
        <v>2019</v>
      </c>
    </row>
    <row r="54" spans="1:10" ht="15.75" customHeight="1">
      <c r="D54" s="8"/>
      <c r="E54" s="13" t="str">
        <v>E003</v>
      </c>
      <c r="F54" s="13" t="str">
        <v>David Mathews</v>
      </c>
      <c r="G54" s="13" t="str">
        <v>IT</v>
      </c>
      <c r="H54" s="13">
        <v>72000</v>
      </c>
      <c r="I54" s="13" t="str">
        <v>Bangalore</v>
      </c>
      <c r="J54" s="18">
        <v>2020</v>
      </c>
    </row>
    <row r="55" spans="1:10" ht="15.75" customHeight="1">
      <c r="D55" s="8"/>
      <c r="E55" s="13" t="str">
        <v>E010</v>
      </c>
      <c r="F55" s="13" t="str">
        <v>Aman Verma</v>
      </c>
      <c r="G55" s="13" t="str">
        <v>Finance</v>
      </c>
      <c r="H55" s="13">
        <v>54000</v>
      </c>
      <c r="I55" s="13" t="str">
        <v>Delhi</v>
      </c>
      <c r="J55" s="18">
        <v>2020</v>
      </c>
    </row>
    <row r="56" spans="1:10" ht="15.75" customHeight="1">
      <c r="D56" s="8"/>
      <c r="E56" s="13" t="str">
        <v>E001</v>
      </c>
      <c r="F56" s="13" t="str">
        <v>Rahul Sharma</v>
      </c>
      <c r="G56" s="13" t="str">
        <v>Sales</v>
      </c>
      <c r="H56" s="13">
        <v>55000</v>
      </c>
      <c r="I56" s="13" t="str">
        <v>Delhi</v>
      </c>
      <c r="J56" s="18">
        <v>2021</v>
      </c>
    </row>
    <row r="57" spans="1:10" ht="15.75" customHeight="1">
      <c r="D57" s="8"/>
      <c r="E57" s="13" t="str">
        <v>E005</v>
      </c>
      <c r="F57" s="13" t="str">
        <v>Sunil Kumar</v>
      </c>
      <c r="G57" s="13" t="str">
        <v>Finance</v>
      </c>
      <c r="H57" s="13">
        <v>58000</v>
      </c>
      <c r="I57" s="13" t="str">
        <v>Delhi</v>
      </c>
      <c r="J57" s="18">
        <v>2021</v>
      </c>
    </row>
    <row r="58" spans="1:10" ht="15.75" customHeight="1">
      <c r="D58" s="8"/>
      <c r="E58" s="13" t="str">
        <v>E004</v>
      </c>
      <c r="F58" s="13" t="str">
        <v>Priya R</v>
      </c>
      <c r="G58" s="13" t="str">
        <v>IT</v>
      </c>
      <c r="H58" s="13">
        <v>69000</v>
      </c>
      <c r="I58" s="13" t="str">
        <v>Pune</v>
      </c>
      <c r="J58" s="18">
        <v>2022</v>
      </c>
    </row>
    <row r="59" spans="1:10" ht="15.75" customHeight="1">
      <c r="D59" s="8"/>
      <c r="E59" s="13" t="str">
        <v>E008</v>
      </c>
      <c r="F59" s="13" t="str">
        <v>Khushi Jain</v>
      </c>
      <c r="G59" s="13" t="str">
        <v>HR</v>
      </c>
      <c r="H59" s="13">
        <v>47000</v>
      </c>
      <c r="I59" s="13" t="str">
        <v>Bangalore</v>
      </c>
      <c r="J59" s="18">
        <v>2022</v>
      </c>
    </row>
    <row r="60" spans="1:10" ht="15.75" customHeight="1">
      <c r="D60" s="10"/>
      <c r="E60" s="20" t="str">
        <v>E007</v>
      </c>
      <c r="F60" s="20" t="str">
        <v>John Paul</v>
      </c>
      <c r="G60" s="20" t="str">
        <v>Sales</v>
      </c>
      <c r="H60" s="20">
        <v>60000</v>
      </c>
      <c r="I60" s="20" t="str">
        <v>Mumbai</v>
      </c>
      <c r="J60" s="21">
        <v>2023</v>
      </c>
    </row>
    <row r="63" spans="1:10" ht="26.25" customHeight="1">
      <c r="D63" s="4"/>
      <c r="E63" s="5"/>
      <c r="F63" s="5"/>
      <c r="G63" s="5"/>
      <c r="H63" s="5"/>
      <c r="I63" s="5"/>
      <c r="J63" s="5"/>
    </row>
    <row r="64" spans="1:10" ht="15.75" customHeight="1">
      <c r="E64" s="5"/>
      <c r="F64" s="5"/>
      <c r="G64" s="5"/>
      <c r="H64" s="5"/>
      <c r="I64" s="5"/>
      <c r="J64" s="5"/>
    </row>
    <row r="65" spans="5:10" ht="15.75" customHeight="1">
      <c r="E65" s="5"/>
      <c r="F65" s="5"/>
      <c r="G65" s="5"/>
      <c r="H65" s="5"/>
      <c r="I65" s="5"/>
      <c r="J65" s="5"/>
    </row>
    <row r="66" spans="5:10" ht="15.75" customHeight="1">
      <c r="E66" s="5"/>
      <c r="F66" s="5"/>
      <c r="G66" s="5"/>
      <c r="H66" s="5"/>
      <c r="I66" s="5"/>
      <c r="J66" s="5"/>
    </row>
    <row r="67" spans="5:10" ht="15.75" customHeight="1">
      <c r="E67" s="5"/>
      <c r="F67" s="5"/>
      <c r="G67" s="5"/>
      <c r="H67" s="5"/>
      <c r="I67" s="5"/>
      <c r="J67" s="5"/>
    </row>
    <row r="68" spans="5:10" ht="15.75" customHeight="1">
      <c r="E68" s="5"/>
      <c r="F68" s="5"/>
      <c r="G68" s="5"/>
      <c r="H68" s="5"/>
      <c r="I68" s="5"/>
      <c r="J68" s="5"/>
    </row>
    <row r="69" spans="5:10" ht="15.75" customHeight="1">
      <c r="E69" s="5"/>
      <c r="F69" s="5"/>
      <c r="G69" s="5"/>
      <c r="H69" s="5"/>
      <c r="I69" s="5"/>
      <c r="J69" s="5"/>
    </row>
    <row r="70" spans="5:10" ht="15.75" customHeight="1">
      <c r="E70" s="5"/>
      <c r="F70" s="5"/>
      <c r="G70" s="5"/>
      <c r="H70" s="5"/>
      <c r="I70" s="5"/>
      <c r="J70" s="5"/>
    </row>
    <row r="71" spans="5:10" ht="15.75" customHeight="1">
      <c r="E71" s="5"/>
      <c r="F71" s="5"/>
      <c r="G71" s="5"/>
      <c r="H71" s="5"/>
      <c r="I71" s="5"/>
      <c r="J71" s="5"/>
    </row>
    <row r="72" spans="5:10" ht="15.75" customHeight="1">
      <c r="E72" s="5"/>
      <c r="F72" s="5"/>
      <c r="G72" s="5"/>
      <c r="H72" s="5"/>
      <c r="I72" s="5"/>
      <c r="J72" s="5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Malini Samy</cp:lastModifiedBy>
  <cp:revision/>
  <dcterms:created xsi:type="dcterms:W3CDTF">2026-05-03T15:25:26Z</dcterms:created>
  <dcterms:modified xsi:type="dcterms:W3CDTF">2026-05-03T15:25:26Z</dcterms:modified>
  <cp:category/>
  <cp:contentStatus/>
</cp:coreProperties>
</file>