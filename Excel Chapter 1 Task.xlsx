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\Downloads\"/>
    </mc:Choice>
  </mc:AlternateContent>
  <xr:revisionPtr revIDLastSave="0" documentId="13_ncr:1_{70ABF203-1ED7-41E4-AFFC-C1538857C1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ip Planner" sheetId="1" r:id="rId1"/>
  </sheets>
  <calcPr calcId="191029"/>
</workbook>
</file>

<file path=xl/calcChain.xml><?xml version="1.0" encoding="utf-8"?>
<calcChain xmlns="http://schemas.openxmlformats.org/spreadsheetml/2006/main">
  <c r="L6" i="1" l="1"/>
  <c r="L12" i="1"/>
  <c r="K6" i="1"/>
  <c r="K7" i="1"/>
  <c r="K8" i="1"/>
  <c r="K9" i="1"/>
  <c r="K12" i="1" s="1"/>
  <c r="K10" i="1"/>
  <c r="K11" i="1"/>
  <c r="J7" i="1"/>
  <c r="J8" i="1"/>
  <c r="J9" i="1"/>
  <c r="J10" i="1"/>
  <c r="J11" i="1"/>
  <c r="J6" i="1"/>
  <c r="M7" i="1"/>
  <c r="M8" i="1"/>
  <c r="F12" i="1"/>
  <c r="D12" i="1"/>
  <c r="L11" i="1"/>
  <c r="M11" i="1"/>
  <c r="I11" i="1"/>
  <c r="L10" i="1"/>
  <c r="I10" i="1"/>
  <c r="L9" i="1"/>
  <c r="I9" i="1"/>
  <c r="L8" i="1"/>
  <c r="I8" i="1"/>
  <c r="L7" i="1"/>
  <c r="I7" i="1"/>
  <c r="I6" i="1"/>
  <c r="M9" i="1" l="1"/>
  <c r="I12" i="1"/>
  <c r="M10" i="1"/>
  <c r="J12" i="1"/>
  <c r="M6" i="1" l="1"/>
  <c r="M12" i="1" s="1"/>
</calcChain>
</file>

<file path=xl/sharedStrings.xml><?xml version="1.0" encoding="utf-8"?>
<sst xmlns="http://schemas.openxmlformats.org/spreadsheetml/2006/main" count="42" uniqueCount="42">
  <si>
    <t>Trip Planner</t>
  </si>
  <si>
    <t>Note: M3 = Discount Rate (Absolute Ref) | Yellow = Assumption Cell</t>
  </si>
  <si>
    <t>Discount Rate:</t>
  </si>
  <si>
    <t>Destination</t>
  </si>
  <si>
    <t>Departure Date</t>
  </si>
  <si>
    <t>Return Date</t>
  </si>
  <si>
    <t>Flight Cost (₹)</t>
  </si>
  <si>
    <t>Hotel Name</t>
  </si>
  <si>
    <t>Total Budget (₹)</t>
  </si>
  <si>
    <t>No. of Days</t>
  </si>
  <si>
    <t>Hotel Cost/Day (₹)</t>
  </si>
  <si>
    <t>Total Hotel Cost (₹)</t>
  </si>
  <si>
    <t>Discount (₹)
[Absolute Ref]</t>
  </si>
  <si>
    <t>Net Hotel Cost (₹)
[Relative Ref]</t>
  </si>
  <si>
    <t>Tax per Day (₹)
[Mixed Ref]</t>
  </si>
  <si>
    <t>Grand Total (₹)</t>
  </si>
  <si>
    <t>Maldives</t>
  </si>
  <si>
    <t>01/05/2026</t>
  </si>
  <si>
    <t>10/05/2026</t>
  </si>
  <si>
    <t>Hotel Royal</t>
  </si>
  <si>
    <t>Goa</t>
  </si>
  <si>
    <t>11/05/2026</t>
  </si>
  <si>
    <t>20/05/2026</t>
  </si>
  <si>
    <t>Hotel Safari</t>
  </si>
  <si>
    <t>Ladakh</t>
  </si>
  <si>
    <t>21/05/2026</t>
  </si>
  <si>
    <t>25/05/2026</t>
  </si>
  <si>
    <t>Hotel Himalaya</t>
  </si>
  <si>
    <t>Assam</t>
  </si>
  <si>
    <t>26/05/2026</t>
  </si>
  <si>
    <t>30/05/2026</t>
  </si>
  <si>
    <t>Hotel Samaya</t>
  </si>
  <si>
    <t>Shilong</t>
  </si>
  <si>
    <t>31/05/2026</t>
  </si>
  <si>
    <t>05/06/2026</t>
  </si>
  <si>
    <t>Hotel Kavya</t>
  </si>
  <si>
    <t>Srilanka</t>
  </si>
  <si>
    <t>06/06/2026</t>
  </si>
  <si>
    <t>10/06/2026</t>
  </si>
  <si>
    <t>Hotel Jaffna</t>
  </si>
  <si>
    <t>TOTAL</t>
  </si>
  <si>
    <t>Absolute Ref ($M$3 locked) |    Relative Ref (row/col change freely) |        Mixed Ref ($H column fixed, row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</si>
</sst>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9"/>
      <color rgb="FFFFFFFF"/>
      <name val="Calibri"/>
      <family val="2"/>
    </font>
    <font>
      <b/>
      <sz val="9"/>
      <color rgb="FF595959"/>
      <name val="Calibri"/>
      <family val="2"/>
    </font>
    <font>
      <b/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6FAE"/>
      </patternFill>
    </fill>
    <fill>
      <patternFill patternType="solid">
        <fgColor rgb="FFFFFF99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9" fontId="3" fillId="3" borderId="1" xfId="0" applyNumberFormat="1" applyFont="1" applyFill="1" applyBorder="1"/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6" borderId="0" xfId="0" applyFont="1" applyFill="1"/>
    <xf numFmtId="164" fontId="2" fillId="6" borderId="1" xfId="0" applyNumberFormat="1" applyFont="1" applyFill="1" applyBorder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C1" workbookViewId="0">
      <selection activeCell="L9" sqref="L9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14" customWidth="1"/>
    <col min="5" max="6" width="15" customWidth="1"/>
    <col min="7" max="7" width="11" customWidth="1"/>
    <col min="8" max="8" width="15" customWidth="1"/>
    <col min="9" max="9" width="17" customWidth="1"/>
    <col min="10" max="10" width="21.5703125" customWidth="1"/>
    <col min="11" max="11" width="26.28515625" customWidth="1"/>
    <col min="12" max="12" width="22" customWidth="1"/>
    <col min="13" max="13" width="13" customWidth="1"/>
  </cols>
  <sheetData>
    <row r="1" spans="1:13" ht="30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x14ac:dyDescent="0.25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" t="s">
        <v>2</v>
      </c>
      <c r="M3" s="2">
        <v>0.1</v>
      </c>
    </row>
    <row r="5" spans="1:13" ht="25.5" customHeight="1" x14ac:dyDescent="0.2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  <c r="M5" s="13" t="s">
        <v>15</v>
      </c>
    </row>
    <row r="6" spans="1:13" x14ac:dyDescent="0.25">
      <c r="A6" s="14" t="s">
        <v>16</v>
      </c>
      <c r="B6" s="14" t="s">
        <v>17</v>
      </c>
      <c r="C6" s="14" t="s">
        <v>18</v>
      </c>
      <c r="D6" s="15">
        <v>7000</v>
      </c>
      <c r="E6" s="14" t="s">
        <v>19</v>
      </c>
      <c r="F6" s="15">
        <v>20000</v>
      </c>
      <c r="G6" s="14">
        <v>10</v>
      </c>
      <c r="H6" s="15">
        <v>1000</v>
      </c>
      <c r="I6" s="15">
        <f t="shared" ref="I6:I11" si="0">G6*H6</f>
        <v>10000</v>
      </c>
      <c r="J6" s="3">
        <f>I6*$M$3</f>
        <v>1000</v>
      </c>
      <c r="K6" s="4">
        <f t="shared" ref="K6:K11" si="1">I6-J6</f>
        <v>9000</v>
      </c>
      <c r="L6" s="5">
        <f t="shared" ref="L6:L11" si="2">$H6*G6*0.05</f>
        <v>500</v>
      </c>
      <c r="M6" s="16">
        <f t="shared" ref="M6:M11" si="3">D6+K6+L6</f>
        <v>16500</v>
      </c>
    </row>
    <row r="7" spans="1:13" x14ac:dyDescent="0.25">
      <c r="A7" s="6" t="s">
        <v>20</v>
      </c>
      <c r="B7" s="6" t="s">
        <v>21</v>
      </c>
      <c r="C7" s="6" t="s">
        <v>22</v>
      </c>
      <c r="D7" s="7">
        <v>3000</v>
      </c>
      <c r="E7" s="6" t="s">
        <v>23</v>
      </c>
      <c r="F7" s="7">
        <v>10000</v>
      </c>
      <c r="G7" s="6">
        <v>10</v>
      </c>
      <c r="H7" s="7">
        <v>500</v>
      </c>
      <c r="I7" s="7">
        <f t="shared" si="0"/>
        <v>5000</v>
      </c>
      <c r="J7" s="3">
        <f t="shared" ref="J7:J11" si="4">I7*$M$3</f>
        <v>500</v>
      </c>
      <c r="K7" s="4">
        <f t="shared" si="1"/>
        <v>4500</v>
      </c>
      <c r="L7" s="5">
        <f t="shared" si="2"/>
        <v>250</v>
      </c>
      <c r="M7" s="16">
        <f t="shared" si="3"/>
        <v>7750</v>
      </c>
    </row>
    <row r="8" spans="1:13" x14ac:dyDescent="0.25">
      <c r="A8" s="14" t="s">
        <v>24</v>
      </c>
      <c r="B8" s="14" t="s">
        <v>25</v>
      </c>
      <c r="C8" s="14" t="s">
        <v>26</v>
      </c>
      <c r="D8" s="15">
        <v>10000</v>
      </c>
      <c r="E8" s="14" t="s">
        <v>27</v>
      </c>
      <c r="F8" s="15">
        <v>20000</v>
      </c>
      <c r="G8" s="14">
        <v>5</v>
      </c>
      <c r="H8" s="15">
        <v>1000</v>
      </c>
      <c r="I8" s="15">
        <f t="shared" si="0"/>
        <v>5000</v>
      </c>
      <c r="J8" s="3">
        <f t="shared" si="4"/>
        <v>500</v>
      </c>
      <c r="K8" s="4">
        <f t="shared" si="1"/>
        <v>4500</v>
      </c>
      <c r="L8" s="5">
        <f t="shared" si="2"/>
        <v>250</v>
      </c>
      <c r="M8" s="16">
        <f t="shared" si="3"/>
        <v>14750</v>
      </c>
    </row>
    <row r="9" spans="1:13" x14ac:dyDescent="0.25">
      <c r="A9" s="6" t="s">
        <v>28</v>
      </c>
      <c r="B9" s="6" t="s">
        <v>29</v>
      </c>
      <c r="C9" s="6" t="s">
        <v>30</v>
      </c>
      <c r="D9" s="7">
        <v>3000</v>
      </c>
      <c r="E9" s="6" t="s">
        <v>31</v>
      </c>
      <c r="F9" s="7">
        <v>5000</v>
      </c>
      <c r="G9" s="6">
        <v>5</v>
      </c>
      <c r="H9" s="7">
        <v>200</v>
      </c>
      <c r="I9" s="7">
        <f t="shared" si="0"/>
        <v>1000</v>
      </c>
      <c r="J9" s="3">
        <f t="shared" si="4"/>
        <v>100</v>
      </c>
      <c r="K9" s="4">
        <f t="shared" si="1"/>
        <v>900</v>
      </c>
      <c r="L9" s="5">
        <f t="shared" si="2"/>
        <v>50</v>
      </c>
      <c r="M9" s="16">
        <f t="shared" si="3"/>
        <v>3950</v>
      </c>
    </row>
    <row r="10" spans="1:13" x14ac:dyDescent="0.25">
      <c r="A10" s="14" t="s">
        <v>32</v>
      </c>
      <c r="B10" s="14" t="s">
        <v>33</v>
      </c>
      <c r="C10" s="14" t="s">
        <v>34</v>
      </c>
      <c r="D10" s="15">
        <v>3000</v>
      </c>
      <c r="E10" s="14" t="s">
        <v>35</v>
      </c>
      <c r="F10" s="15">
        <v>7000</v>
      </c>
      <c r="G10" s="14">
        <v>6</v>
      </c>
      <c r="H10" s="15">
        <v>500</v>
      </c>
      <c r="I10" s="15">
        <f t="shared" si="0"/>
        <v>3000</v>
      </c>
      <c r="J10" s="3">
        <f t="shared" si="4"/>
        <v>300</v>
      </c>
      <c r="K10" s="4">
        <f t="shared" si="1"/>
        <v>2700</v>
      </c>
      <c r="L10" s="5">
        <f t="shared" si="2"/>
        <v>150</v>
      </c>
      <c r="M10" s="16">
        <f t="shared" si="3"/>
        <v>5850</v>
      </c>
    </row>
    <row r="11" spans="1:13" x14ac:dyDescent="0.25">
      <c r="A11" s="6" t="s">
        <v>36</v>
      </c>
      <c r="B11" s="6" t="s">
        <v>37</v>
      </c>
      <c r="C11" s="6" t="s">
        <v>38</v>
      </c>
      <c r="D11" s="7">
        <v>10000</v>
      </c>
      <c r="E11" s="6" t="s">
        <v>39</v>
      </c>
      <c r="F11" s="7">
        <v>20000</v>
      </c>
      <c r="G11" s="6">
        <v>5</v>
      </c>
      <c r="H11" s="7">
        <v>1000</v>
      </c>
      <c r="I11" s="7">
        <f t="shared" si="0"/>
        <v>5000</v>
      </c>
      <c r="J11" s="3">
        <f t="shared" si="4"/>
        <v>500</v>
      </c>
      <c r="K11" s="4">
        <f t="shared" si="1"/>
        <v>4500</v>
      </c>
      <c r="L11" s="5">
        <f t="shared" si="2"/>
        <v>250</v>
      </c>
      <c r="M11" s="16">
        <f t="shared" si="3"/>
        <v>14750</v>
      </c>
    </row>
    <row r="12" spans="1:13" x14ac:dyDescent="0.25">
      <c r="A12" s="8" t="s">
        <v>40</v>
      </c>
      <c r="D12" s="9">
        <f>SUM(D6:D11)</f>
        <v>36000</v>
      </c>
      <c r="F12" s="9">
        <f>SUM(F6:F11)</f>
        <v>82000</v>
      </c>
      <c r="I12" s="9">
        <f>SUM(I6:I11)</f>
        <v>29000</v>
      </c>
      <c r="J12" s="9">
        <f>SUM(J6:J11)</f>
        <v>2900</v>
      </c>
      <c r="K12" s="9">
        <f>SUM(K6:K11)</f>
        <v>26100</v>
      </c>
      <c r="L12" s="9">
        <f>SUM(L6:L11)</f>
        <v>1450</v>
      </c>
      <c r="M12" s="9">
        <f>SUM(M6:M11)</f>
        <v>63550</v>
      </c>
    </row>
    <row r="14" spans="1:13" x14ac:dyDescent="0.25">
      <c r="A14" s="17" t="s">
        <v>41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</sheetData>
  <mergeCells count="3">
    <mergeCell ref="A14:M14"/>
    <mergeCell ref="A1:M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Malini Samy</cp:lastModifiedBy>
  <dcterms:created xsi:type="dcterms:W3CDTF">2026-04-22T12:31:50Z</dcterms:created>
  <dcterms:modified xsi:type="dcterms:W3CDTF">2026-04-22T13:31:25Z</dcterms:modified>
</cp:coreProperties>
</file>