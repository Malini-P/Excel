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zG64RILHcZGIQOnb7PlYjUe3/fEFigzbKriZIpqkro="/>
    </ext>
  </extLst>
</workbook>
</file>

<file path=xl/sharedStrings.xml><?xml version="1.0" encoding="utf-8"?>
<sst xmlns="http://schemas.openxmlformats.org/spreadsheetml/2006/main" count="60" uniqueCount="50">
  <si>
    <t>Employee ID</t>
  </si>
  <si>
    <t>Employee Name</t>
  </si>
  <si>
    <t>Phone Number</t>
  </si>
  <si>
    <t>Email</t>
  </si>
  <si>
    <t>Department</t>
  </si>
  <si>
    <t>Joining Date</t>
  </si>
  <si>
    <t>Status</t>
  </si>
  <si>
    <t xml:space="preserve">1)Check if the Employee ID starts with "  EMP" using the LEFT function </t>
  </si>
  <si>
    <t>2)Extract the first name from the Employee Name column</t>
  </si>
  <si>
    <t>3)Extract the last name from the Employee Name Column</t>
  </si>
  <si>
    <t xml:space="preserve">4)Use AND to validate that the phone number contains exactly 10 digits. </t>
  </si>
  <si>
    <t>5)Use ISBLANK to identify employees with missing email Ids.</t>
  </si>
  <si>
    <t>6)Use OR to check if an email is invalid(missing " @" or blank)</t>
  </si>
  <si>
    <t>7)Use CONCAT to combine Employee Name and Employee ID into a single text field.</t>
  </si>
  <si>
    <t>8)Use TEXT JOIN  to create a single -line summary of Employee Name, ID and Department.</t>
  </si>
  <si>
    <t>emp001</t>
  </si>
  <si>
    <t>Rahul Sharma</t>
  </si>
  <si>
    <t>rahul.sharma@company.com</t>
  </si>
  <si>
    <t>Sales</t>
  </si>
  <si>
    <t>Active</t>
  </si>
  <si>
    <t>EMP-002</t>
  </si>
  <si>
    <t>Anita Singh</t>
  </si>
  <si>
    <t>98765 43211</t>
  </si>
  <si>
    <t>anita.singhcompany.com</t>
  </si>
  <si>
    <t>HR</t>
  </si>
  <si>
    <t>EMP003</t>
  </si>
  <si>
    <t>David Mathews</t>
  </si>
  <si>
    <t>IT</t>
  </si>
  <si>
    <t>Emp004</t>
  </si>
  <si>
    <t>Sunil Kumar</t>
  </si>
  <si>
    <t>sunil.kumar@company.com</t>
  </si>
  <si>
    <t>Finance</t>
  </si>
  <si>
    <t>Inactive</t>
  </si>
  <si>
    <t>EMP 005</t>
  </si>
  <si>
    <t>Priya R</t>
  </si>
  <si>
    <t>priya.r@company.com</t>
  </si>
  <si>
    <t>Marketing</t>
  </si>
  <si>
    <t>EMP006</t>
  </si>
  <si>
    <t>Aman Verma</t>
  </si>
  <si>
    <t>aman.verma@company.com</t>
  </si>
  <si>
    <t>emp007</t>
  </si>
  <si>
    <t>Maria Lopez</t>
  </si>
  <si>
    <t>EMP008</t>
  </si>
  <si>
    <t>John Paul</t>
  </si>
  <si>
    <t>john.paul@company</t>
  </si>
  <si>
    <t>emp009</t>
  </si>
  <si>
    <t>Khushi Jain</t>
  </si>
  <si>
    <t>khushi.jain@company.com</t>
  </si>
  <si>
    <t>EMP010</t>
  </si>
  <si>
    <t>rohan.m@company.com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</si>
</sst>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/>
    <font>
      <u/>
      <sz val="11.0"/>
      <color theme="10"/>
      <name val="Aptos Narrow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2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wrapText="1"/>
    </xf>
    <xf borderId="1" fillId="0" fontId="2" numFmtId="14" xfId="0" applyAlignment="1" applyBorder="1" applyFont="1" applyNumberFormat="1">
      <alignment shrinkToFit="0" wrapText="1"/>
    </xf>
    <xf borderId="0" fillId="0" fontId="5" numFmtId="0" xfId="0" applyFont="1"/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rahul.sharma@company.com" TargetMode="External"/><Relationship Id="rId2" Type="http://schemas.openxmlformats.org/officeDocument/2006/relationships/hyperlink" Target="mailto:sunil.kumar@company.com" TargetMode="External"/><Relationship Id="rId3" Type="http://schemas.openxmlformats.org/officeDocument/2006/relationships/hyperlink" Target="mailto:priya.r@company.com" TargetMode="External"/><Relationship Id="rId4" Type="http://schemas.openxmlformats.org/officeDocument/2006/relationships/hyperlink" Target="mailto:aman.verma@company.com" TargetMode="External"/><Relationship Id="rId5" Type="http://schemas.openxmlformats.org/officeDocument/2006/relationships/hyperlink" Target="mailto:khushi.jain@company.com" TargetMode="External"/><Relationship Id="rId6" Type="http://schemas.openxmlformats.org/officeDocument/2006/relationships/hyperlink" Target="mailto:rohan.m@company.com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5.25"/>
    <col customWidth="1" min="3" max="3" width="14.0"/>
    <col customWidth="1" min="4" max="4" width="26.25"/>
    <col customWidth="1" min="5" max="6" width="11.63"/>
    <col customWidth="1" min="7" max="11" width="8.63"/>
    <col customWidth="1" min="12" max="12" width="23.88"/>
    <col customWidth="1" min="13" max="16" width="8.63"/>
    <col customWidth="1" min="17" max="17" width="16.75"/>
    <col customWidth="1" min="18" max="21" width="8.63"/>
    <col customWidth="1" min="22" max="22" width="17.88"/>
    <col customWidth="1" min="23" max="26" width="8.63"/>
    <col customWidth="1" min="27" max="27" width="27.38"/>
    <col customWidth="1" min="28" max="28" width="8.63"/>
    <col customWidth="1" min="29" max="29" width="45.88"/>
    <col customWidth="1" hidden="1" min="30" max="31" width="9.13"/>
    <col customWidth="1" hidden="1" min="32" max="32" width="17.88"/>
    <col customWidth="1" min="33" max="36" width="8.63"/>
    <col customWidth="1" min="37" max="37" width="20.13"/>
    <col customWidth="1" min="38" max="41" width="8.63"/>
    <col customWidth="1" min="42" max="42" width="39.0"/>
    <col customWidth="1" min="43" max="46" width="8.63"/>
    <col customWidth="1" min="47" max="47" width="4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4"/>
      <c r="M1" s="2" t="s">
        <v>8</v>
      </c>
      <c r="N1" s="3"/>
      <c r="O1" s="3"/>
      <c r="P1" s="3"/>
      <c r="Q1" s="4"/>
      <c r="R1" s="2" t="s">
        <v>9</v>
      </c>
      <c r="S1" s="3"/>
      <c r="T1" s="3"/>
      <c r="U1" s="3"/>
      <c r="V1" s="4"/>
      <c r="W1" s="2" t="s">
        <v>10</v>
      </c>
      <c r="X1" s="3"/>
      <c r="Y1" s="3"/>
      <c r="Z1" s="3"/>
      <c r="AA1" s="4"/>
      <c r="AB1" s="2" t="s">
        <v>11</v>
      </c>
      <c r="AC1" s="3"/>
      <c r="AD1" s="3"/>
      <c r="AE1" s="3"/>
      <c r="AF1" s="4"/>
      <c r="AG1" s="2" t="s">
        <v>12</v>
      </c>
      <c r="AH1" s="3"/>
      <c r="AI1" s="3"/>
      <c r="AJ1" s="3"/>
      <c r="AK1" s="4"/>
      <c r="AL1" s="2" t="s">
        <v>13</v>
      </c>
      <c r="AM1" s="3"/>
      <c r="AN1" s="3"/>
      <c r="AO1" s="3"/>
      <c r="AP1" s="4"/>
      <c r="AQ1" s="2" t="s">
        <v>14</v>
      </c>
      <c r="AR1" s="3"/>
      <c r="AS1" s="3"/>
      <c r="AT1" s="3"/>
      <c r="AU1" s="4"/>
    </row>
    <row r="2">
      <c r="A2" s="5" t="s">
        <v>15</v>
      </c>
      <c r="B2" s="5" t="s">
        <v>16</v>
      </c>
      <c r="C2" s="5">
        <v>9.87654321E9</v>
      </c>
      <c r="D2" s="6" t="s">
        <v>17</v>
      </c>
      <c r="E2" s="5" t="s">
        <v>18</v>
      </c>
      <c r="F2" s="7">
        <v>44239.0</v>
      </c>
      <c r="G2" s="5" t="s">
        <v>19</v>
      </c>
      <c r="K2" s="8" t="str">
        <f t="shared" ref="K2:K11" si="1">IF(LEFT(A2,3)="EMP","True","False")</f>
        <v>True</v>
      </c>
      <c r="P2" s="8" t="str">
        <f t="shared" ref="P2:P10" si="2">LEFT(B2,FIND(" ",B2)-1)</f>
        <v>Rahul</v>
      </c>
      <c r="U2" s="8" t="str">
        <f t="shared" ref="U2:U10" si="3">RIGHT(B2,LEN(B2)-FIND(" ",B2))</f>
        <v>Sharma</v>
      </c>
      <c r="Z2" s="8" t="b">
        <f t="shared" ref="Z2:Z11" si="4">AND(LEN(C2)=10,ISNUMBER(C2))</f>
        <v>1</v>
      </c>
      <c r="AC2" s="8" t="b">
        <f t="shared" ref="AC2:AC11" si="5">ISBLANK(D2)</f>
        <v>0</v>
      </c>
      <c r="AE2" s="8" t="b">
        <f t="shared" ref="AE2:AE11" si="6">ISBLANK(D2)</f>
        <v>0</v>
      </c>
      <c r="AJ2" s="8" t="b">
        <f t="shared" ref="AJ2:AJ11" si="7">OR(ISBLANK(D2),ISERROR(FIND("@",D2)))</f>
        <v>0</v>
      </c>
      <c r="AO2" s="8" t="str">
        <f t="shared" ref="AO2:AO11" si="8">CONCAT(B2,A2)</f>
        <v>Rahul Sharmaemp001</v>
      </c>
      <c r="AT2" s="8" t="str">
        <f t="shared" ref="AT2:AT14" si="9">TEXTJOIN(" | ",TRUE,B2,A2,E2)</f>
        <v>Rahul Sharma | emp001 | Sales</v>
      </c>
    </row>
    <row r="3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7">
        <v>44140.0</v>
      </c>
      <c r="G3" s="5" t="s">
        <v>19</v>
      </c>
      <c r="K3" s="8" t="str">
        <f t="shared" si="1"/>
        <v>True</v>
      </c>
      <c r="P3" s="8" t="str">
        <f t="shared" si="2"/>
        <v>Anita</v>
      </c>
      <c r="U3" s="8" t="str">
        <f t="shared" si="3"/>
        <v>Singh</v>
      </c>
      <c r="Z3" s="8" t="b">
        <f t="shared" si="4"/>
        <v>0</v>
      </c>
      <c r="AC3" s="8" t="b">
        <f t="shared" si="5"/>
        <v>0</v>
      </c>
      <c r="AE3" s="8" t="b">
        <f t="shared" si="6"/>
        <v>0</v>
      </c>
      <c r="AJ3" s="8" t="b">
        <f t="shared" si="7"/>
        <v>1</v>
      </c>
      <c r="AO3" s="8" t="str">
        <f t="shared" si="8"/>
        <v>Anita SinghEMP-002</v>
      </c>
      <c r="AT3" s="8" t="str">
        <f t="shared" si="9"/>
        <v>Anita Singh | EMP-002 | HR</v>
      </c>
    </row>
    <row r="4">
      <c r="A4" s="5" t="s">
        <v>25</v>
      </c>
      <c r="B4" s="5" t="s">
        <v>26</v>
      </c>
      <c r="C4" s="5">
        <v>9.876509876E9</v>
      </c>
      <c r="D4" s="5"/>
      <c r="E4" s="5" t="s">
        <v>27</v>
      </c>
      <c r="F4" s="7">
        <v>44030.0</v>
      </c>
      <c r="G4" s="5"/>
      <c r="K4" s="8" t="str">
        <f t="shared" si="1"/>
        <v>True</v>
      </c>
      <c r="P4" s="8" t="str">
        <f t="shared" si="2"/>
        <v>David</v>
      </c>
      <c r="U4" s="8" t="str">
        <f t="shared" si="3"/>
        <v>Mathews</v>
      </c>
      <c r="Z4" s="8" t="b">
        <f t="shared" si="4"/>
        <v>1</v>
      </c>
      <c r="AC4" s="8" t="b">
        <f t="shared" si="5"/>
        <v>1</v>
      </c>
      <c r="AE4" s="8" t="b">
        <f t="shared" si="6"/>
        <v>1</v>
      </c>
      <c r="AJ4" s="8" t="b">
        <f t="shared" si="7"/>
        <v>1</v>
      </c>
      <c r="AO4" s="8" t="str">
        <f t="shared" si="8"/>
        <v>David MathewsEMP003</v>
      </c>
      <c r="AT4" s="8" t="str">
        <f t="shared" si="9"/>
        <v>David Mathews | EMP003 | IT</v>
      </c>
    </row>
    <row r="5">
      <c r="A5" s="5" t="s">
        <v>28</v>
      </c>
      <c r="B5" s="5" t="s">
        <v>29</v>
      </c>
      <c r="C5" s="5"/>
      <c r="D5" s="6" t="s">
        <v>30</v>
      </c>
      <c r="E5" s="5" t="s">
        <v>31</v>
      </c>
      <c r="F5" s="7">
        <v>43542.0</v>
      </c>
      <c r="G5" s="5" t="s">
        <v>32</v>
      </c>
      <c r="K5" s="8" t="str">
        <f t="shared" si="1"/>
        <v>True</v>
      </c>
      <c r="P5" s="8" t="str">
        <f t="shared" si="2"/>
        <v>Sunil</v>
      </c>
      <c r="U5" s="8" t="str">
        <f t="shared" si="3"/>
        <v>Kumar</v>
      </c>
      <c r="Z5" s="8" t="b">
        <f t="shared" si="4"/>
        <v>0</v>
      </c>
      <c r="AC5" s="8" t="b">
        <f t="shared" si="5"/>
        <v>0</v>
      </c>
      <c r="AE5" s="8" t="b">
        <f t="shared" si="6"/>
        <v>0</v>
      </c>
      <c r="AJ5" s="8" t="b">
        <f t="shared" si="7"/>
        <v>0</v>
      </c>
      <c r="AO5" s="8" t="str">
        <f t="shared" si="8"/>
        <v>Sunil KumarEmp004</v>
      </c>
      <c r="AT5" s="8" t="str">
        <f t="shared" si="9"/>
        <v>Sunil Kumar | Emp004 | Finance</v>
      </c>
    </row>
    <row r="6">
      <c r="A6" s="5" t="s">
        <v>33</v>
      </c>
      <c r="B6" s="5" t="s">
        <v>34</v>
      </c>
      <c r="C6" s="5">
        <v>9.901234567E9</v>
      </c>
      <c r="D6" s="6" t="s">
        <v>35</v>
      </c>
      <c r="E6" s="5" t="s">
        <v>36</v>
      </c>
      <c r="F6" s="7">
        <v>44446.0</v>
      </c>
      <c r="G6" s="5" t="s">
        <v>19</v>
      </c>
      <c r="K6" s="8" t="str">
        <f t="shared" si="1"/>
        <v>True</v>
      </c>
      <c r="P6" s="8" t="str">
        <f t="shared" si="2"/>
        <v>Priya</v>
      </c>
      <c r="U6" s="8" t="str">
        <f t="shared" si="3"/>
        <v>R</v>
      </c>
      <c r="Z6" s="8" t="b">
        <f t="shared" si="4"/>
        <v>1</v>
      </c>
      <c r="AC6" s="8" t="b">
        <f t="shared" si="5"/>
        <v>0</v>
      </c>
      <c r="AE6" s="8" t="b">
        <f t="shared" si="6"/>
        <v>0</v>
      </c>
      <c r="AJ6" s="8" t="b">
        <f t="shared" si="7"/>
        <v>0</v>
      </c>
      <c r="AO6" s="8" t="str">
        <f t="shared" si="8"/>
        <v>Priya REMP 005</v>
      </c>
      <c r="AT6" s="8" t="str">
        <f t="shared" si="9"/>
        <v>Priya R | EMP 005 | Marketing</v>
      </c>
    </row>
    <row r="7">
      <c r="A7" s="5" t="s">
        <v>37</v>
      </c>
      <c r="B7" s="5" t="s">
        <v>38</v>
      </c>
      <c r="C7" s="5">
        <v>9.91234567E8</v>
      </c>
      <c r="D7" s="6" t="s">
        <v>39</v>
      </c>
      <c r="E7" s="5" t="s">
        <v>27</v>
      </c>
      <c r="F7" s="7">
        <v>44848.0</v>
      </c>
      <c r="G7" s="5" t="s">
        <v>19</v>
      </c>
      <c r="K7" s="8" t="str">
        <f t="shared" si="1"/>
        <v>True</v>
      </c>
      <c r="P7" s="8" t="str">
        <f t="shared" si="2"/>
        <v>Aman</v>
      </c>
      <c r="U7" s="8" t="str">
        <f t="shared" si="3"/>
        <v>Verma</v>
      </c>
      <c r="Z7" s="8" t="b">
        <f t="shared" si="4"/>
        <v>0</v>
      </c>
      <c r="AC7" s="8" t="b">
        <f t="shared" si="5"/>
        <v>0</v>
      </c>
      <c r="AE7" s="8" t="b">
        <f t="shared" si="6"/>
        <v>0</v>
      </c>
      <c r="AJ7" s="8" t="b">
        <f t="shared" si="7"/>
        <v>0</v>
      </c>
      <c r="AO7" s="8" t="str">
        <f t="shared" si="8"/>
        <v>Aman VermaEMP006</v>
      </c>
      <c r="AT7" s="8" t="str">
        <f t="shared" si="9"/>
        <v>Aman Verma | EMP006 | IT</v>
      </c>
    </row>
    <row r="8">
      <c r="A8" s="5" t="s">
        <v>40</v>
      </c>
      <c r="B8" s="5" t="s">
        <v>41</v>
      </c>
      <c r="C8" s="5">
        <v>9.87654321E9</v>
      </c>
      <c r="D8" s="5"/>
      <c r="E8" s="5" t="s">
        <v>18</v>
      </c>
      <c r="F8" s="7">
        <v>43831.0</v>
      </c>
      <c r="G8" s="5" t="s">
        <v>19</v>
      </c>
      <c r="K8" s="8" t="str">
        <f t="shared" si="1"/>
        <v>True</v>
      </c>
      <c r="P8" s="8" t="str">
        <f t="shared" si="2"/>
        <v>Maria</v>
      </c>
      <c r="U8" s="8" t="str">
        <f t="shared" si="3"/>
        <v>Lopez</v>
      </c>
      <c r="Z8" s="8" t="b">
        <f t="shared" si="4"/>
        <v>1</v>
      </c>
      <c r="AC8" s="8" t="b">
        <f t="shared" si="5"/>
        <v>1</v>
      </c>
      <c r="AE8" s="8" t="b">
        <f t="shared" si="6"/>
        <v>1</v>
      </c>
      <c r="AJ8" s="8" t="b">
        <f t="shared" si="7"/>
        <v>1</v>
      </c>
      <c r="AO8" s="8" t="str">
        <f t="shared" si="8"/>
        <v>Maria Lopezemp007</v>
      </c>
      <c r="AT8" s="8" t="str">
        <f t="shared" si="9"/>
        <v>Maria Lopez | emp007 | Sales</v>
      </c>
    </row>
    <row r="9">
      <c r="A9" s="5" t="s">
        <v>42</v>
      </c>
      <c r="B9" s="5" t="s">
        <v>43</v>
      </c>
      <c r="C9" s="5">
        <v>8.899776655E9</v>
      </c>
      <c r="D9" s="5" t="s">
        <v>44</v>
      </c>
      <c r="E9" s="5" t="s">
        <v>27</v>
      </c>
      <c r="F9" s="7">
        <v>43445.0</v>
      </c>
      <c r="G9" s="5" t="s">
        <v>32</v>
      </c>
      <c r="K9" s="8" t="str">
        <f t="shared" si="1"/>
        <v>True</v>
      </c>
      <c r="P9" s="8" t="str">
        <f t="shared" si="2"/>
        <v>John</v>
      </c>
      <c r="U9" s="8" t="str">
        <f t="shared" si="3"/>
        <v>Paul</v>
      </c>
      <c r="Z9" s="8" t="b">
        <f t="shared" si="4"/>
        <v>1</v>
      </c>
      <c r="AC9" s="8" t="b">
        <f t="shared" si="5"/>
        <v>0</v>
      </c>
      <c r="AE9" s="8" t="b">
        <f t="shared" si="6"/>
        <v>0</v>
      </c>
      <c r="AJ9" s="8" t="b">
        <f t="shared" si="7"/>
        <v>0</v>
      </c>
      <c r="AO9" s="8" t="str">
        <f t="shared" si="8"/>
        <v>John PaulEMP008</v>
      </c>
      <c r="AT9" s="8" t="str">
        <f t="shared" si="9"/>
        <v>John Paul | EMP008 | IT</v>
      </c>
    </row>
    <row r="10">
      <c r="A10" s="5" t="s">
        <v>45</v>
      </c>
      <c r="B10" s="5" t="s">
        <v>46</v>
      </c>
      <c r="C10" s="5">
        <v>9.901122334E9</v>
      </c>
      <c r="D10" s="6" t="s">
        <v>47</v>
      </c>
      <c r="E10" s="5"/>
      <c r="F10" s="7">
        <v>45039.0</v>
      </c>
      <c r="G10" s="5" t="s">
        <v>19</v>
      </c>
      <c r="K10" s="8" t="str">
        <f t="shared" si="1"/>
        <v>True</v>
      </c>
      <c r="P10" s="8" t="str">
        <f t="shared" si="2"/>
        <v>Khushi</v>
      </c>
      <c r="U10" s="8" t="str">
        <f t="shared" si="3"/>
        <v>Jain</v>
      </c>
      <c r="Z10" s="8" t="b">
        <f t="shared" si="4"/>
        <v>1</v>
      </c>
      <c r="AC10" s="8" t="b">
        <f t="shared" si="5"/>
        <v>0</v>
      </c>
      <c r="AE10" s="8" t="b">
        <f t="shared" si="6"/>
        <v>0</v>
      </c>
      <c r="AJ10" s="8" t="b">
        <f t="shared" si="7"/>
        <v>0</v>
      </c>
      <c r="AO10" s="8" t="str">
        <f t="shared" si="8"/>
        <v>Khushi Jainemp009</v>
      </c>
      <c r="AT10" s="8" t="str">
        <f t="shared" si="9"/>
        <v>Khushi Jain | emp009</v>
      </c>
    </row>
    <row r="11">
      <c r="A11" s="5" t="s">
        <v>48</v>
      </c>
      <c r="B11" s="5"/>
      <c r="C11" s="5">
        <v>9.811122233E9</v>
      </c>
      <c r="D11" s="6" t="s">
        <v>49</v>
      </c>
      <c r="E11" s="5" t="s">
        <v>18</v>
      </c>
      <c r="F11" s="7">
        <v>44728.0</v>
      </c>
      <c r="G11" s="5"/>
      <c r="K11" s="8" t="str">
        <f t="shared" si="1"/>
        <v>True</v>
      </c>
      <c r="Z11" s="8" t="b">
        <f t="shared" si="4"/>
        <v>1</v>
      </c>
      <c r="AC11" s="8" t="b">
        <f t="shared" si="5"/>
        <v>0</v>
      </c>
      <c r="AE11" s="8" t="b">
        <f t="shared" si="6"/>
        <v>0</v>
      </c>
      <c r="AJ11" s="8" t="b">
        <f t="shared" si="7"/>
        <v>0</v>
      </c>
      <c r="AO11" s="8" t="str">
        <f t="shared" si="8"/>
        <v>EMP010</v>
      </c>
      <c r="AT11" s="8" t="str">
        <f t="shared" si="9"/>
        <v>EMP010 | Sales</v>
      </c>
    </row>
    <row r="12">
      <c r="AT12" s="8" t="str">
        <f t="shared" si="9"/>
        <v/>
      </c>
    </row>
    <row r="13">
      <c r="AT13" s="8" t="str">
        <f t="shared" si="9"/>
        <v/>
      </c>
    </row>
    <row r="14" ht="30.0" customHeight="1">
      <c r="B14" s="9"/>
      <c r="C14" s="10"/>
      <c r="D14" s="11"/>
      <c r="E14" s="11"/>
      <c r="F14" s="11"/>
      <c r="G14" s="11"/>
      <c r="H14" s="11"/>
      <c r="AT14" s="8" t="str">
        <f t="shared" si="9"/>
        <v/>
      </c>
    </row>
    <row r="17" ht="30.0" customHeight="1">
      <c r="D17" s="12"/>
    </row>
    <row r="20" ht="29.25" customHeight="1">
      <c r="D20" s="11"/>
      <c r="E20" s="11"/>
      <c r="F20" s="11"/>
      <c r="G20" s="11"/>
      <c r="H20" s="11"/>
    </row>
    <row r="21" ht="15.75" customHeight="1"/>
    <row r="22" ht="15.75" customHeight="1"/>
    <row r="23" ht="30.0" customHeight="1">
      <c r="D23" s="11"/>
      <c r="E23" s="11"/>
      <c r="F23" s="11"/>
      <c r="G23" s="11"/>
      <c r="H23" s="11"/>
    </row>
    <row r="24" ht="15.75" customHeight="1"/>
    <row r="25" ht="15.75" customHeight="1"/>
    <row r="26" ht="30.0" customHeight="1">
      <c r="D26" s="11"/>
      <c r="E26" s="11"/>
      <c r="F26" s="11"/>
      <c r="G26" s="11"/>
      <c r="H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1:L1"/>
    <mergeCell ref="D17:H17"/>
    <mergeCell ref="M1:Q1"/>
    <mergeCell ref="R1:V1"/>
    <mergeCell ref="W1:AA1"/>
    <mergeCell ref="AB1:AF1"/>
    <mergeCell ref="AG1:AK1"/>
    <mergeCell ref="AL1:AP1"/>
    <mergeCell ref="AQ1:AU1"/>
  </mergeCells>
  <hyperlinks>
    <hyperlink r:id="rId1" ref="D2"/>
    <hyperlink r:id="rId2" ref="D5"/>
    <hyperlink r:id="rId3" ref="D6"/>
    <hyperlink r:id="rId4" ref="D7"/>
    <hyperlink r:id="rId5" ref="D10"/>
    <hyperlink r:id="rId6" ref="D11"/>
  </hyperlinks>
  <printOptions/>
  <pageMargins bottom="0.75" footer="0.0" header="0.0" left="0.7" right="0.7" top="0.75"/>
  <pageSetup orientation="landscape"/>
  <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2025-12-04T10:21:09Z</dcterms:created>
</cp:coreProperties>
</file>